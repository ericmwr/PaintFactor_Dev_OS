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ric_AI_Playground\Claude Code Uni\Claude\devos\exterior-briefs\"/>
    </mc:Choice>
  </mc:AlternateContent>
  <xr:revisionPtr revIDLastSave="0" documentId="13_ncr:1_{658A0A4D-E477-4214-9792-CE71EDD10E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J6" i="1"/>
  <c r="I6" i="1"/>
  <c r="B33" i="1" l="1"/>
  <c r="B34" i="1" s="1"/>
</calcChain>
</file>

<file path=xl/sharedStrings.xml><?xml version="1.0" encoding="utf-8"?>
<sst xmlns="http://schemas.openxmlformats.org/spreadsheetml/2006/main" count="172" uniqueCount="100">
  <si>
    <t>Wood lap siding pilot — QT3 task rates (ext_siding × wood_smooth × NC)</t>
  </si>
  <si>
    <t>Fill the yellow column (Eric's rate) only. Blank = placeholder is used. SF/hr unless UOM says otherwise; quantity = siding face SF (PS_EXT_SIDING_SF.FIELD).</t>
  </si>
  <si>
    <t>Placeholders: 'NPC Medium' = Craftsman National Painting Cost Estimator (smooth wood siding); 'TBD' = Claude stand-in, no published figure. NPC NC rates already include normal prep — set coat rates net of prep tasks.</t>
  </si>
  <si>
    <t>Task ID (TSK_EXT_SIDING_…)</t>
  </si>
  <si>
    <t>Phase</t>
  </si>
  <si>
    <t>What</t>
  </si>
  <si>
    <t>Fires when</t>
  </si>
  <si>
    <t>UOM</t>
  </si>
  <si>
    <t>Placeholder rate</t>
  </si>
  <si>
    <t>Basis</t>
  </si>
  <si>
    <t>Eric's rate</t>
  </si>
  <si>
    <t>Rate used</t>
  </si>
  <si>
    <t>Hrs per 1,000 SF</t>
  </si>
  <si>
    <t>Notes</t>
  </si>
  <si>
    <t>EXAMPLE_TASK</t>
  </si>
  <si>
    <t>prep</t>
  </si>
  <si>
    <t>Example row — shows format only</t>
  </si>
  <si>
    <t>all</t>
  </si>
  <si>
    <t>SF</t>
  </si>
  <si>
    <t>TBD</t>
  </si>
  <si>
    <t>Example — not a real task</t>
  </si>
  <si>
    <t>SETUP_SITE</t>
  </si>
  <si>
    <t>setup</t>
  </si>
  <si>
    <t>Stage ladders/equipment along wall</t>
  </si>
  <si>
    <t>PROTECT_GROUND</t>
  </si>
  <si>
    <t>Drops at base; cover plants/hardscape</t>
  </si>
  <si>
    <t>MASK_SPRAY</t>
  </si>
  <si>
    <t>Mask openings/fixtures/roof edge (SF proxy)</t>
  </si>
  <si>
    <t>spray* either coat</t>
  </si>
  <si>
    <t>INSPECT</t>
  </si>
  <si>
    <t>Readiness walk (moisture, defects)</t>
  </si>
  <si>
    <t>DUST_OFF</t>
  </si>
  <si>
    <t>Brush/blow off construction dust</t>
  </si>
  <si>
    <t>SC_NEW</t>
  </si>
  <si>
    <t>WASH_CLEAN</t>
  </si>
  <si>
    <t>Detergent wash + rinse</t>
  </si>
  <si>
    <t>SC_WEATHERED</t>
  </si>
  <si>
    <t>r2: replaces full sanding (Eric 2026-10-03)</t>
  </si>
  <si>
    <t>SPOT_SAND</t>
  </si>
  <si>
    <t>Spot-sand worst weathered areas (allowance over whole SF)</t>
  </si>
  <si>
    <t>Spot work only; no whole-structure sanding</t>
  </si>
  <si>
    <t>SPOT_PRIME_CUTS</t>
  </si>
  <si>
    <t>Prime field cuts / damaged factory primer</t>
  </si>
  <si>
    <t>SS_PRIMED_FACTORY</t>
  </si>
  <si>
    <t>PRIME_SPRAY</t>
  </si>
  <si>
    <t>prime</t>
  </si>
  <si>
    <t>Airless primer coat</t>
  </si>
  <si>
    <t>prime spray*</t>
  </si>
  <si>
    <t>TBD (NPC 1st coat 550, slowed)</t>
  </si>
  <si>
    <t>PRIME_ROLL</t>
  </si>
  <si>
    <t>Roll primer + brush lap edges</t>
  </si>
  <si>
    <t>prime roll</t>
  </si>
  <si>
    <t>TBD (NPC roll 275, slowed)</t>
  </si>
  <si>
    <t>PRIME_BRUSH</t>
  </si>
  <si>
    <t>Brush primer</t>
  </si>
  <si>
    <t>prime brush</t>
  </si>
  <si>
    <t>BACKBRUSH</t>
  </si>
  <si>
    <t>prime/apply</t>
  </si>
  <si>
    <t>Back-brush pass after spray</t>
  </si>
  <si>
    <t>spray_backbrush</t>
  </si>
  <si>
    <t>BACKROLL</t>
  </si>
  <si>
    <t>Back-roll pass after spray</t>
  </si>
  <si>
    <t>spray_backroll</t>
  </si>
  <si>
    <t>FILL_HOLES</t>
  </si>
  <si>
    <t>interstage</t>
  </si>
  <si>
    <t>Fill nail holes/defects</t>
  </si>
  <si>
    <t>CAULK_JOINTS</t>
  </si>
  <si>
    <t>Butt + siding-to-trim joints, not laps (SF proxy)</t>
  </si>
  <si>
    <t>Interim SF proxy until trim/openings model gives LF</t>
  </si>
  <si>
    <t>SPOT_PRIME</t>
  </si>
  <si>
    <t>Spot-prime knots, nails, fills</t>
  </si>
  <si>
    <t>COAT_SPRAY</t>
  </si>
  <si>
    <t>apply</t>
  </si>
  <si>
    <t>Airless finish coat</t>
  </si>
  <si>
    <t>finish spray*</t>
  </si>
  <si>
    <t>NPC Medium</t>
  </si>
  <si>
    <t>COAT_ROLL</t>
  </si>
  <si>
    <t>Roll finish coat + brush lap edges</t>
  </si>
  <si>
    <t>finish roll</t>
  </si>
  <si>
    <t>COAT_BRUSH</t>
  </si>
  <si>
    <t>Brush finish coat</t>
  </si>
  <si>
    <t>finish brush</t>
  </si>
  <si>
    <t>COAT_INSPECT</t>
  </si>
  <si>
    <t>Between-coat inspect + touch-up</t>
  </si>
  <si>
    <t>DEMASK</t>
  </si>
  <si>
    <t>finish</t>
  </si>
  <si>
    <t>Remove masking</t>
  </si>
  <si>
    <t>spray*</t>
  </si>
  <si>
    <t>FINAL_TOUCHUP</t>
  </si>
  <si>
    <t>Final walk + touch-up</t>
  </si>
  <si>
    <t>CLEAN_SPRAY_RIG</t>
  </si>
  <si>
    <t>cleanup</t>
  </si>
  <si>
    <t>Flush airless rig (minutes, fixed)</t>
  </si>
  <si>
    <t>FIXED min</t>
  </si>
  <si>
    <t>SITE_CLEANUP</t>
  </si>
  <si>
    <t>Site cleanup</t>
  </si>
  <si>
    <t>Sanity: 1,000 SF FROM_BARE, prime spray_backbrush, finish spray (2 coats)</t>
  </si>
  <si>
    <t>Crew hours</t>
  </si>
  <si>
    <t>All-in SF/hr</t>
  </si>
  <si>
    <t>Coat 1 and coat 2 both use COAT_SPRAY.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</si>
</sst>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1"/>
      <name val="Arial"/>
    </font>
    <font>
      <b/>
      <sz val="11"/>
      <name val="Arial"/>
    </font>
    <font>
      <i/>
      <sz val="11"/>
      <color rgb="FF808080"/>
      <name val="Arial"/>
    </font>
    <font>
      <sz val="11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5" fillId="0" borderId="0" xfId="0" applyFont="1"/>
    <xf numFmtId="0" fontId="5" fillId="3" borderId="0" xfId="0" applyFont="1" applyFill="1"/>
    <xf numFmtId="2" fontId="2" fillId="0" borderId="0" xfId="0" applyNumberFormat="1" applyFont="1"/>
    <xf numFmtId="0" fontId="3" fillId="0" borderId="0" xfId="0" applyFont="1"/>
    <xf numFmtId="164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pane ySplit="5" topLeftCell="A12" activePane="bottomLeft" state="frozen"/>
      <selection pane="bottomLeft" activeCell="J33" sqref="J33"/>
    </sheetView>
  </sheetViews>
  <sheetFormatPr defaultRowHeight="15" x14ac:dyDescent="0.25"/>
  <cols>
    <col min="1" max="1" width="28" customWidth="1"/>
    <col min="2" max="2" width="12" customWidth="1"/>
    <col min="3" max="3" width="48" customWidth="1"/>
    <col min="4" max="4" width="20" customWidth="1"/>
    <col min="5" max="5" width="10" customWidth="1"/>
    <col min="6" max="6" width="14" customWidth="1"/>
    <col min="7" max="7" width="30" customWidth="1"/>
    <col min="8" max="8" width="13" customWidth="1"/>
    <col min="9" max="9" width="11" customWidth="1"/>
    <col min="10" max="10" width="14" customWidth="1"/>
    <col min="11" max="11" width="44" customWidth="1"/>
  </cols>
  <sheetData>
    <row r="1" spans="1:11" ht="16.5" x14ac:dyDescent="0.25">
      <c r="A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</row>
    <row r="5" spans="1:11" ht="30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spans="1:11" x14ac:dyDescent="0.25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>
        <v>800</v>
      </c>
      <c r="G6" s="4" t="s">
        <v>19</v>
      </c>
      <c r="H6" s="4">
        <v>650</v>
      </c>
      <c r="I6" s="4">
        <f t="shared" ref="I6:I30" si="0">IF(H6="",F6,H6)</f>
        <v>650</v>
      </c>
      <c r="J6" s="4">
        <f t="shared" ref="J6:J30" si="1">IF(E6="SF",1000/I6,I6/60)</f>
        <v>1.5384615384615385</v>
      </c>
      <c r="K6" s="4" t="s">
        <v>20</v>
      </c>
    </row>
    <row r="7" spans="1:11" x14ac:dyDescent="0.25">
      <c r="A7" s="2" t="s">
        <v>21</v>
      </c>
      <c r="B7" s="2" t="s">
        <v>22</v>
      </c>
      <c r="C7" s="2" t="s">
        <v>23</v>
      </c>
      <c r="D7" s="2" t="s">
        <v>17</v>
      </c>
      <c r="E7" s="2" t="s">
        <v>18</v>
      </c>
      <c r="F7" s="5">
        <v>1500</v>
      </c>
      <c r="G7" s="2" t="s">
        <v>19</v>
      </c>
      <c r="H7" s="6">
        <v>1500</v>
      </c>
      <c r="I7" s="2">
        <f t="shared" si="0"/>
        <v>1500</v>
      </c>
      <c r="J7" s="7">
        <f t="shared" si="1"/>
        <v>0.66666666666666663</v>
      </c>
    </row>
    <row r="8" spans="1:11" x14ac:dyDescent="0.25">
      <c r="A8" s="2" t="s">
        <v>24</v>
      </c>
      <c r="B8" s="2" t="s">
        <v>22</v>
      </c>
      <c r="C8" s="2" t="s">
        <v>25</v>
      </c>
      <c r="D8" s="2" t="s">
        <v>17</v>
      </c>
      <c r="E8" s="2" t="s">
        <v>18</v>
      </c>
      <c r="F8" s="5">
        <v>2000</v>
      </c>
      <c r="G8" s="2" t="s">
        <v>19</v>
      </c>
      <c r="H8" s="6">
        <v>2000</v>
      </c>
      <c r="I8" s="2">
        <f t="shared" si="0"/>
        <v>2000</v>
      </c>
      <c r="J8" s="7">
        <f t="shared" si="1"/>
        <v>0.5</v>
      </c>
    </row>
    <row r="9" spans="1:11" x14ac:dyDescent="0.25">
      <c r="A9" s="2" t="s">
        <v>26</v>
      </c>
      <c r="B9" s="2" t="s">
        <v>22</v>
      </c>
      <c r="C9" s="2" t="s">
        <v>27</v>
      </c>
      <c r="D9" s="2" t="s">
        <v>28</v>
      </c>
      <c r="E9" s="2" t="s">
        <v>18</v>
      </c>
      <c r="F9" s="5">
        <v>600</v>
      </c>
      <c r="G9" s="2" t="s">
        <v>19</v>
      </c>
      <c r="H9" s="6">
        <v>600</v>
      </c>
      <c r="I9" s="2">
        <f t="shared" si="0"/>
        <v>600</v>
      </c>
      <c r="J9" s="7">
        <f t="shared" si="1"/>
        <v>1.6666666666666667</v>
      </c>
    </row>
    <row r="10" spans="1:11" x14ac:dyDescent="0.25">
      <c r="A10" s="2" t="s">
        <v>29</v>
      </c>
      <c r="B10" s="2" t="s">
        <v>15</v>
      </c>
      <c r="C10" s="2" t="s">
        <v>30</v>
      </c>
      <c r="D10" s="2" t="s">
        <v>17</v>
      </c>
      <c r="E10" s="2" t="s">
        <v>18</v>
      </c>
      <c r="F10" s="5">
        <v>3000</v>
      </c>
      <c r="G10" s="2" t="s">
        <v>19</v>
      </c>
      <c r="H10" s="6">
        <v>3000</v>
      </c>
      <c r="I10" s="2">
        <f t="shared" si="0"/>
        <v>3000</v>
      </c>
      <c r="J10" s="7">
        <f t="shared" si="1"/>
        <v>0.33333333333333331</v>
      </c>
    </row>
    <row r="11" spans="1:11" x14ac:dyDescent="0.25">
      <c r="A11" s="2" t="s">
        <v>31</v>
      </c>
      <c r="B11" s="2" t="s">
        <v>15</v>
      </c>
      <c r="C11" s="2" t="s">
        <v>32</v>
      </c>
      <c r="D11" s="2" t="s">
        <v>33</v>
      </c>
      <c r="E11" s="2" t="s">
        <v>18</v>
      </c>
      <c r="F11" s="5">
        <v>1200</v>
      </c>
      <c r="G11" s="2" t="s">
        <v>19</v>
      </c>
      <c r="H11" s="6">
        <v>2000</v>
      </c>
      <c r="I11" s="2">
        <f t="shared" si="0"/>
        <v>2000</v>
      </c>
      <c r="J11" s="7">
        <f t="shared" si="1"/>
        <v>0.5</v>
      </c>
    </row>
    <row r="12" spans="1:11" x14ac:dyDescent="0.25">
      <c r="A12" s="2" t="s">
        <v>34</v>
      </c>
      <c r="B12" s="2" t="s">
        <v>15</v>
      </c>
      <c r="C12" s="2" t="s">
        <v>35</v>
      </c>
      <c r="D12" s="2" t="s">
        <v>36</v>
      </c>
      <c r="E12" s="2" t="s">
        <v>18</v>
      </c>
      <c r="F12" s="5">
        <v>800</v>
      </c>
      <c r="G12" s="2" t="s">
        <v>19</v>
      </c>
      <c r="H12" s="6">
        <v>800</v>
      </c>
      <c r="I12" s="2">
        <f t="shared" si="0"/>
        <v>800</v>
      </c>
      <c r="J12" s="7">
        <f t="shared" si="1"/>
        <v>1.25</v>
      </c>
      <c r="K12" s="2" t="s">
        <v>37</v>
      </c>
    </row>
    <row r="13" spans="1:11" x14ac:dyDescent="0.25">
      <c r="A13" s="2" t="s">
        <v>38</v>
      </c>
      <c r="B13" s="2" t="s">
        <v>15</v>
      </c>
      <c r="C13" s="2" t="s">
        <v>39</v>
      </c>
      <c r="D13" s="2" t="s">
        <v>36</v>
      </c>
      <c r="E13" s="2" t="s">
        <v>18</v>
      </c>
      <c r="F13" s="5">
        <v>1000</v>
      </c>
      <c r="G13" s="2" t="s">
        <v>19</v>
      </c>
      <c r="H13" s="6">
        <v>1500</v>
      </c>
      <c r="I13" s="2">
        <f t="shared" si="0"/>
        <v>1500</v>
      </c>
      <c r="J13" s="7">
        <f t="shared" si="1"/>
        <v>0.66666666666666663</v>
      </c>
      <c r="K13" s="2" t="s">
        <v>40</v>
      </c>
    </row>
    <row r="14" spans="1:11" x14ac:dyDescent="0.25">
      <c r="A14" s="2" t="s">
        <v>41</v>
      </c>
      <c r="B14" s="2" t="s">
        <v>15</v>
      </c>
      <c r="C14" s="2" t="s">
        <v>42</v>
      </c>
      <c r="D14" s="2" t="s">
        <v>43</v>
      </c>
      <c r="E14" s="2" t="s">
        <v>18</v>
      </c>
      <c r="F14" s="5">
        <v>1000</v>
      </c>
      <c r="G14" s="2" t="s">
        <v>19</v>
      </c>
      <c r="H14" s="6">
        <v>1500</v>
      </c>
      <c r="I14" s="2">
        <f t="shared" si="0"/>
        <v>1500</v>
      </c>
      <c r="J14" s="7">
        <f t="shared" si="1"/>
        <v>0.66666666666666663</v>
      </c>
    </row>
    <row r="15" spans="1:11" x14ac:dyDescent="0.25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18</v>
      </c>
      <c r="F15" s="5">
        <v>450</v>
      </c>
      <c r="G15" s="2" t="s">
        <v>48</v>
      </c>
      <c r="H15" s="6">
        <v>675</v>
      </c>
      <c r="I15" s="2">
        <f t="shared" si="0"/>
        <v>675</v>
      </c>
      <c r="J15" s="7">
        <f t="shared" si="1"/>
        <v>1.4814814814814814</v>
      </c>
    </row>
    <row r="16" spans="1:11" x14ac:dyDescent="0.25">
      <c r="A16" s="2" t="s">
        <v>49</v>
      </c>
      <c r="B16" s="2" t="s">
        <v>45</v>
      </c>
      <c r="C16" s="2" t="s">
        <v>50</v>
      </c>
      <c r="D16" s="2" t="s">
        <v>51</v>
      </c>
      <c r="E16" s="2" t="s">
        <v>18</v>
      </c>
      <c r="F16" s="5">
        <v>225</v>
      </c>
      <c r="G16" s="2" t="s">
        <v>52</v>
      </c>
      <c r="H16" s="6">
        <v>225</v>
      </c>
      <c r="I16" s="2">
        <f t="shared" si="0"/>
        <v>225</v>
      </c>
      <c r="J16" s="7">
        <f t="shared" si="1"/>
        <v>4.4444444444444446</v>
      </c>
    </row>
    <row r="17" spans="1:11" x14ac:dyDescent="0.25">
      <c r="A17" s="2" t="s">
        <v>53</v>
      </c>
      <c r="B17" s="2" t="s">
        <v>45</v>
      </c>
      <c r="C17" s="2" t="s">
        <v>54</v>
      </c>
      <c r="D17" s="2" t="s">
        <v>55</v>
      </c>
      <c r="E17" s="2" t="s">
        <v>18</v>
      </c>
      <c r="F17" s="5">
        <v>125</v>
      </c>
      <c r="G17" s="2" t="s">
        <v>19</v>
      </c>
      <c r="H17" s="6">
        <v>125</v>
      </c>
      <c r="I17" s="2">
        <f t="shared" si="0"/>
        <v>125</v>
      </c>
      <c r="J17" s="7">
        <f t="shared" si="1"/>
        <v>8</v>
      </c>
    </row>
    <row r="18" spans="1:11" x14ac:dyDescent="0.25">
      <c r="A18" s="2" t="s">
        <v>56</v>
      </c>
      <c r="B18" s="2" t="s">
        <v>57</v>
      </c>
      <c r="C18" s="2" t="s">
        <v>58</v>
      </c>
      <c r="D18" s="2" t="s">
        <v>59</v>
      </c>
      <c r="E18" s="2" t="s">
        <v>18</v>
      </c>
      <c r="F18" s="5">
        <v>300</v>
      </c>
      <c r="G18" s="2" t="s">
        <v>19</v>
      </c>
      <c r="H18" s="6">
        <v>300</v>
      </c>
      <c r="I18" s="2">
        <f t="shared" si="0"/>
        <v>300</v>
      </c>
      <c r="J18" s="7">
        <f t="shared" si="1"/>
        <v>3.3333333333333335</v>
      </c>
    </row>
    <row r="19" spans="1:11" x14ac:dyDescent="0.25">
      <c r="A19" s="2" t="s">
        <v>60</v>
      </c>
      <c r="B19" s="2" t="s">
        <v>57</v>
      </c>
      <c r="C19" s="2" t="s">
        <v>61</v>
      </c>
      <c r="D19" s="2" t="s">
        <v>62</v>
      </c>
      <c r="E19" s="2" t="s">
        <v>18</v>
      </c>
      <c r="F19" s="5">
        <v>450</v>
      </c>
      <c r="G19" s="2" t="s">
        <v>19</v>
      </c>
      <c r="H19" s="6">
        <v>450</v>
      </c>
      <c r="I19" s="2">
        <f t="shared" si="0"/>
        <v>450</v>
      </c>
      <c r="J19" s="7">
        <f t="shared" si="1"/>
        <v>2.2222222222222223</v>
      </c>
    </row>
    <row r="20" spans="1:11" x14ac:dyDescent="0.25">
      <c r="A20" s="2" t="s">
        <v>63</v>
      </c>
      <c r="B20" s="2" t="s">
        <v>64</v>
      </c>
      <c r="C20" s="2" t="s">
        <v>65</v>
      </c>
      <c r="D20" s="2" t="s">
        <v>17</v>
      </c>
      <c r="E20" s="2" t="s">
        <v>18</v>
      </c>
      <c r="F20" s="5">
        <v>500</v>
      </c>
      <c r="G20" s="2" t="s">
        <v>19</v>
      </c>
      <c r="H20" s="6">
        <v>750</v>
      </c>
      <c r="I20" s="2">
        <f t="shared" si="0"/>
        <v>750</v>
      </c>
      <c r="J20" s="7">
        <f t="shared" si="1"/>
        <v>1.3333333333333333</v>
      </c>
    </row>
    <row r="21" spans="1:11" x14ac:dyDescent="0.25">
      <c r="A21" s="2" t="s">
        <v>66</v>
      </c>
      <c r="B21" s="2" t="s">
        <v>64</v>
      </c>
      <c r="C21" s="2" t="s">
        <v>67</v>
      </c>
      <c r="D21" s="2" t="s">
        <v>17</v>
      </c>
      <c r="E21" s="2" t="s">
        <v>18</v>
      </c>
      <c r="F21" s="5">
        <v>400</v>
      </c>
      <c r="G21" s="2" t="s">
        <v>19</v>
      </c>
      <c r="H21" s="6">
        <v>400</v>
      </c>
      <c r="I21" s="2">
        <f t="shared" si="0"/>
        <v>400</v>
      </c>
      <c r="J21" s="7">
        <f t="shared" si="1"/>
        <v>2.5</v>
      </c>
      <c r="K21" s="2" t="s">
        <v>68</v>
      </c>
    </row>
    <row r="22" spans="1:11" x14ac:dyDescent="0.25">
      <c r="A22" s="2" t="s">
        <v>69</v>
      </c>
      <c r="B22" s="2" t="s">
        <v>64</v>
      </c>
      <c r="C22" s="2" t="s">
        <v>70</v>
      </c>
      <c r="D22" s="2" t="s">
        <v>17</v>
      </c>
      <c r="E22" s="2" t="s">
        <v>18</v>
      </c>
      <c r="F22" s="5">
        <v>1000</v>
      </c>
      <c r="G22" s="2" t="s">
        <v>19</v>
      </c>
      <c r="H22" s="6">
        <v>2000</v>
      </c>
      <c r="I22" s="2">
        <f t="shared" si="0"/>
        <v>2000</v>
      </c>
      <c r="J22" s="7">
        <f t="shared" si="1"/>
        <v>0.5</v>
      </c>
    </row>
    <row r="23" spans="1:11" x14ac:dyDescent="0.25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18</v>
      </c>
      <c r="F23" s="5">
        <v>550</v>
      </c>
      <c r="G23" s="2" t="s">
        <v>75</v>
      </c>
      <c r="H23" s="6">
        <v>750</v>
      </c>
      <c r="I23" s="2">
        <f t="shared" si="0"/>
        <v>750</v>
      </c>
      <c r="J23" s="7">
        <f t="shared" si="1"/>
        <v>1.3333333333333333</v>
      </c>
    </row>
    <row r="24" spans="1:11" x14ac:dyDescent="0.25">
      <c r="A24" s="2" t="s">
        <v>76</v>
      </c>
      <c r="B24" s="2" t="s">
        <v>72</v>
      </c>
      <c r="C24" s="2" t="s">
        <v>77</v>
      </c>
      <c r="D24" s="2" t="s">
        <v>78</v>
      </c>
      <c r="E24" s="2" t="s">
        <v>18</v>
      </c>
      <c r="F24" s="5">
        <v>275</v>
      </c>
      <c r="G24" s="2" t="s">
        <v>75</v>
      </c>
      <c r="H24" s="6">
        <v>275</v>
      </c>
      <c r="I24" s="2">
        <f t="shared" si="0"/>
        <v>275</v>
      </c>
      <c r="J24" s="7">
        <f t="shared" si="1"/>
        <v>3.6363636363636362</v>
      </c>
    </row>
    <row r="25" spans="1:11" x14ac:dyDescent="0.25">
      <c r="A25" s="2" t="s">
        <v>79</v>
      </c>
      <c r="B25" s="2" t="s">
        <v>72</v>
      </c>
      <c r="C25" s="2" t="s">
        <v>80</v>
      </c>
      <c r="D25" s="2" t="s">
        <v>81</v>
      </c>
      <c r="E25" s="2" t="s">
        <v>18</v>
      </c>
      <c r="F25" s="5">
        <v>150</v>
      </c>
      <c r="G25" s="2" t="s">
        <v>19</v>
      </c>
      <c r="H25" s="6">
        <v>150</v>
      </c>
      <c r="I25" s="2">
        <f t="shared" si="0"/>
        <v>150</v>
      </c>
      <c r="J25" s="7">
        <f t="shared" si="1"/>
        <v>6.666666666666667</v>
      </c>
    </row>
    <row r="26" spans="1:11" x14ac:dyDescent="0.25">
      <c r="A26" s="2" t="s">
        <v>82</v>
      </c>
      <c r="B26" s="2" t="s">
        <v>64</v>
      </c>
      <c r="C26" s="2" t="s">
        <v>83</v>
      </c>
      <c r="D26" s="2" t="s">
        <v>17</v>
      </c>
      <c r="E26" s="2" t="s">
        <v>18</v>
      </c>
      <c r="F26" s="5">
        <v>2000</v>
      </c>
      <c r="G26" s="2" t="s">
        <v>19</v>
      </c>
      <c r="H26" s="6">
        <v>2000</v>
      </c>
      <c r="I26" s="2">
        <f t="shared" si="0"/>
        <v>2000</v>
      </c>
      <c r="J26" s="7">
        <f t="shared" si="1"/>
        <v>0.5</v>
      </c>
    </row>
    <row r="27" spans="1:11" x14ac:dyDescent="0.25">
      <c r="A27" s="2" t="s">
        <v>84</v>
      </c>
      <c r="B27" s="2" t="s">
        <v>85</v>
      </c>
      <c r="C27" s="2" t="s">
        <v>86</v>
      </c>
      <c r="D27" s="2" t="s">
        <v>87</v>
      </c>
      <c r="E27" s="2" t="s">
        <v>18</v>
      </c>
      <c r="F27" s="5">
        <v>1500</v>
      </c>
      <c r="G27" s="2" t="s">
        <v>19</v>
      </c>
      <c r="H27" s="6">
        <v>1500</v>
      </c>
      <c r="I27" s="2">
        <f t="shared" si="0"/>
        <v>1500</v>
      </c>
      <c r="J27" s="7">
        <f t="shared" si="1"/>
        <v>0.66666666666666663</v>
      </c>
    </row>
    <row r="28" spans="1:11" x14ac:dyDescent="0.25">
      <c r="A28" s="2" t="s">
        <v>88</v>
      </c>
      <c r="B28" s="2" t="s">
        <v>85</v>
      </c>
      <c r="C28" s="2" t="s">
        <v>89</v>
      </c>
      <c r="D28" s="2" t="s">
        <v>17</v>
      </c>
      <c r="E28" s="2" t="s">
        <v>18</v>
      </c>
      <c r="F28" s="5">
        <v>1500</v>
      </c>
      <c r="G28" s="2" t="s">
        <v>19</v>
      </c>
      <c r="H28" s="6">
        <v>1500</v>
      </c>
      <c r="I28" s="2">
        <f t="shared" si="0"/>
        <v>1500</v>
      </c>
      <c r="J28" s="7">
        <f t="shared" si="1"/>
        <v>0.66666666666666663</v>
      </c>
    </row>
    <row r="29" spans="1:11" x14ac:dyDescent="0.25">
      <c r="A29" s="2" t="s">
        <v>90</v>
      </c>
      <c r="B29" s="2" t="s">
        <v>91</v>
      </c>
      <c r="C29" s="2" t="s">
        <v>92</v>
      </c>
      <c r="D29" s="2" t="s">
        <v>87</v>
      </c>
      <c r="E29" s="2" t="s">
        <v>93</v>
      </c>
      <c r="F29" s="5">
        <v>30</v>
      </c>
      <c r="G29" s="2" t="s">
        <v>19</v>
      </c>
      <c r="H29" s="6">
        <v>30</v>
      </c>
      <c r="I29" s="2">
        <f t="shared" si="0"/>
        <v>30</v>
      </c>
      <c r="J29" s="7">
        <f t="shared" si="1"/>
        <v>0.5</v>
      </c>
    </row>
    <row r="30" spans="1:11" x14ac:dyDescent="0.25">
      <c r="A30" s="2" t="s">
        <v>94</v>
      </c>
      <c r="B30" s="2" t="s">
        <v>91</v>
      </c>
      <c r="C30" s="2" t="s">
        <v>95</v>
      </c>
      <c r="D30" s="2" t="s">
        <v>17</v>
      </c>
      <c r="E30" s="2" t="s">
        <v>18</v>
      </c>
      <c r="F30" s="5">
        <v>3000</v>
      </c>
      <c r="G30" s="2" t="s">
        <v>19</v>
      </c>
      <c r="H30" s="6">
        <v>1200</v>
      </c>
      <c r="I30" s="2">
        <f t="shared" si="0"/>
        <v>1200</v>
      </c>
      <c r="J30" s="7">
        <f t="shared" si="1"/>
        <v>0.83333333333333337</v>
      </c>
    </row>
    <row r="32" spans="1:11" x14ac:dyDescent="0.25">
      <c r="A32" s="8" t="s">
        <v>96</v>
      </c>
    </row>
    <row r="33" spans="1:2" x14ac:dyDescent="0.25">
      <c r="A33" s="2" t="s">
        <v>97</v>
      </c>
      <c r="B33" s="9">
        <f>J7+J8+J9+J10+J11+J15+J18+J20+J21+J22+J23+J23+J26+J27+J28+J29+J30</f>
        <v>18.648148148148149</v>
      </c>
    </row>
    <row r="34" spans="1:2" x14ac:dyDescent="0.25">
      <c r="A34" s="2" t="s">
        <v>98</v>
      </c>
      <c r="B34" s="10">
        <f>1000/B33</f>
        <v>53.624627606752732</v>
      </c>
    </row>
    <row r="35" spans="1:2" x14ac:dyDescent="0.25">
      <c r="A35" s="2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Mowrer</cp:lastModifiedBy>
  <dcterms:created xsi:type="dcterms:W3CDTF">2026-10-03T20:24:44Z</dcterms:created>
  <dcterms:modified xsi:type="dcterms:W3CDTF">2026-10-03T22:12:02Z</dcterms:modified>
</cp:coreProperties>
</file>